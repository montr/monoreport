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port" sheetId="1" state="visible" r:id="rId3"/>
    <sheet name="Other Sheet" sheetId="2" state="visible" r:id="rId4"/>
  </sheets>
  <definedNames>
    <definedName function="false" hidden="false" localSheetId="0" name="_xlnm.Print_Area" vbProcedure="false">Report!$B$2:$L$24</definedName>
    <definedName function="false" hidden="false" name="MR_Main" vbProcedure="false">Report!$B$2:$L$18</definedName>
    <definedName function="false" hidden="false" name="MR_Second" vbProcedure="false">Report!$B$21:$C$24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<sst xmlns="http://schemas.openxmlformats.org/spreadsheetml/2006/main" count="33" uniqueCount="21">
  <si>
    <t xml:space="preserve">Research</t>
  </si>
  <si>
    <t xml:space="preserve">Alpha</t>
  </si>
  <si>
    <t xml:space="preserve">Beta</t>
  </si>
  <si>
    <t xml:space="preserve">City A</t>
  </si>
  <si>
    <t xml:space="preserve">City B</t>
  </si>
  <si>
    <t xml:space="preserve">Price</t>
  </si>
  <si>
    <t xml:space="preserve">Term</t>
  </si>
  <si>
    <t xml:space="preserve">Criterion</t>
  </si>
  <si>
    <t xml:space="preserve">Lot 1</t>
  </si>
  <si>
    <t xml:space="preserve">A</t>
  </si>
  <si>
    <t xml:space="preserve">B</t>
  </si>
  <si>
    <t xml:space="preserve">footer</t>
  </si>
  <si>
    <t xml:space="preserve">Lot 2</t>
  </si>
  <si>
    <t xml:space="preserve">C</t>
  </si>
  <si>
    <t xml:space="preserve">grand total</t>
  </si>
  <si>
    <t xml:space="preserve">static footer</t>
  </si>
  <si>
    <t xml:space="preserve">X</t>
  </si>
  <si>
    <t xml:space="preserve">second table</t>
  </si>
  <si>
    <t xml:space="preserve">Y</t>
  </si>
  <si>
    <t xml:space="preserve">Z</t>
  </si>
  <si>
    <t xml:space="preserve">after second table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</si>
</sst>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b val="true"/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/>
      <top/>
      <bottom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tru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4"/>
  </cols>
  <sheetData>
    <row r="1" customFormat="false" ht="19" hidden="true" customHeight="true" outlineLevel="0" collapsed="false">
      <c r="D1" s="1"/>
      <c r="E1" s="1"/>
      <c r="F1" s="1"/>
      <c r="G1" s="1"/>
      <c r="H1" s="1"/>
      <c r="I1" s="1"/>
      <c r="J1" s="1"/>
      <c r="K1" s="1"/>
    </row>
    <row r="2" customFormat="false" ht="20" hidden="false" customHeight="true" outlineLevel="0" collapsed="false">
      <c r="B2" s="2" t="s">
        <v>0</v>
      </c>
      <c r="C2" s="2" t="n">
        <v>2</v>
      </c>
      <c r="D2" s="1" t="n">
        <f aca="false">SUBTOTAL(9,D7:D16)</f>
        <v>63</v>
      </c>
      <c r="E2" s="1" t="n">
        <f aca="false">SUBTOTAL(2,D7:D16)</f>
        <v>6</v>
      </c>
      <c r="F2" s="1" t="n">
        <f aca="false">SUBTOTAL(9,F7:F16)</f>
        <v>66</v>
      </c>
      <c r="G2" s="1" t="n">
        <f aca="false">SUBTOTAL(2,F7:F16)</f>
        <v>6</v>
      </c>
      <c r="H2" s="1" t="n">
        <f aca="false">SUBTOTAL(9,H7:H16)</f>
        <v>69</v>
      </c>
      <c r="I2" s="1" t="n">
        <f aca="false">SUBTOTAL(2,H7:H16)</f>
        <v>6</v>
      </c>
      <c r="J2" s="1" t="n">
        <f aca="false">SUBTOTAL(9,J7:J16)</f>
        <v>72</v>
      </c>
      <c r="K2" s="1" t="n">
        <f aca="false">SUBTOTAL(2,J7:J16)</f>
        <v>6</v>
      </c>
      <c r="L2" s="1" t="n">
        <f aca="false">SUBTOTAL(9,D7:K16)</f>
        <v>1362</v>
      </c>
    </row>
    <row r="3" customFormat="false" ht="18" hidden="false" customHeight="true" outlineLevel="0" collapsed="false">
      <c r="A3" s="2"/>
      <c r="D3" s="3" t="s">
        <v>1</v>
      </c>
      <c r="E3" s="3"/>
      <c r="F3" s="3" t="s">
        <v>1</v>
      </c>
      <c r="G3" s="3"/>
      <c r="H3" s="3" t="s">
        <v>2</v>
      </c>
      <c r="I3" s="3"/>
      <c r="J3" s="3" t="s">
        <v>2</v>
      </c>
      <c r="K3" s="3"/>
    </row>
    <row r="4" customFormat="false" ht="19" hidden="false" customHeight="true" outlineLevel="0" collapsed="false">
      <c r="A4" s="2"/>
      <c r="D4" s="3" t="s">
        <v>3</v>
      </c>
      <c r="E4" s="3"/>
      <c r="F4" s="3" t="s">
        <v>3</v>
      </c>
      <c r="G4" s="3"/>
      <c r="H4" s="3" t="s">
        <v>4</v>
      </c>
      <c r="I4" s="3"/>
      <c r="J4" s="3" t="s">
        <v>4</v>
      </c>
      <c r="K4" s="3"/>
    </row>
    <row r="5" customFormat="false" ht="20" hidden="false" customHeight="true" outlineLevel="0" collapsed="false">
      <c r="A5" s="2"/>
      <c r="D5" s="3" t="s">
        <v>5</v>
      </c>
      <c r="E5" s="3"/>
      <c r="F5" s="3" t="s">
        <v>6</v>
      </c>
      <c r="G5" s="3"/>
      <c r="H5" s="3" t="s">
        <v>5</v>
      </c>
      <c r="I5" s="3"/>
      <c r="J5" s="3" t="s">
        <v>6</v>
      </c>
      <c r="K5" s="3"/>
    </row>
    <row r="6" customFormat="false" ht="18" hidden="false" customHeight="true" outlineLevel="0" collapsed="false">
      <c r="A6" s="2"/>
      <c r="D6" s="3" t="s">
        <v>7</v>
      </c>
      <c r="E6" s="3"/>
      <c r="F6" s="3" t="s">
        <v>7</v>
      </c>
      <c r="G6" s="3"/>
      <c r="H6" s="3" t="s">
        <v>7</v>
      </c>
      <c r="I6" s="3"/>
      <c r="J6" s="3" t="s">
        <v>7</v>
      </c>
      <c r="K6" s="3"/>
    </row>
    <row r="7" customFormat="false" ht="19" hidden="false" customHeight="true" outlineLevel="0" collapsed="false">
      <c r="A7" s="2"/>
      <c r="B7" s="2" t="s">
        <v>8</v>
      </c>
      <c r="D7" s="1" t="n">
        <f aca="false">SUBTOTAL(9,D8:D11)</f>
        <v>32</v>
      </c>
      <c r="E7" s="1" t="n">
        <f aca="false">SUM(D8:D11)</f>
        <v>32</v>
      </c>
      <c r="F7" s="1" t="n">
        <f aca="false">SUBTOTAL(9,F8:F11)</f>
        <v>34</v>
      </c>
      <c r="G7" s="1" t="n">
        <f aca="false">SUM(F8:F11)</f>
        <v>34</v>
      </c>
      <c r="H7" s="1" t="n">
        <f aca="false">SUBTOTAL(9,H8:H11)</f>
        <v>36</v>
      </c>
      <c r="I7" s="1" t="n">
        <f aca="false">SUM(H8:H11)</f>
        <v>36</v>
      </c>
      <c r="J7" s="1" t="n">
        <f aca="false">SUBTOTAL(9,J8:J11)</f>
        <v>38</v>
      </c>
      <c r="K7" s="1" t="n">
        <f aca="false">SUM(J8:J11)</f>
        <v>38</v>
      </c>
      <c r="L7" s="1" t="n">
        <f aca="false">COUNT($D8:$D11)</f>
        <v>4</v>
      </c>
    </row>
    <row r="8" customFormat="false" ht="20" hidden="false" customHeight="true" outlineLevel="0" collapsed="false">
      <c r="A8" s="2"/>
      <c r="B8" s="4" t="s">
        <v>9</v>
      </c>
      <c r="D8" s="1" t="n">
        <v>10</v>
      </c>
      <c r="E8" s="1" t="n">
        <v>20</v>
      </c>
      <c r="F8" s="1" t="n">
        <v>11</v>
      </c>
      <c r="G8" s="1" t="n">
        <v>22</v>
      </c>
      <c r="H8" s="1" t="n">
        <v>12</v>
      </c>
      <c r="I8" s="1" t="n">
        <v>24</v>
      </c>
      <c r="J8" s="1" t="n">
        <v>13</v>
      </c>
      <c r="K8" s="1" t="n">
        <v>26</v>
      </c>
    </row>
    <row r="9" customFormat="false" ht="18" hidden="false" customHeight="true" outlineLevel="0" collapsed="false">
      <c r="A9" s="2"/>
      <c r="B9" s="4"/>
      <c r="D9" s="1" t="n">
        <v>1</v>
      </c>
      <c r="E9" s="1" t="n">
        <f aca="false">D8+$C$2</f>
        <v>12</v>
      </c>
      <c r="F9" s="1" t="n">
        <v>1</v>
      </c>
      <c r="G9" s="1" t="n">
        <f aca="false">F8+$C$2</f>
        <v>13</v>
      </c>
      <c r="H9" s="1" t="n">
        <v>1</v>
      </c>
      <c r="I9" s="1" t="n">
        <f aca="false">H8+$C$2</f>
        <v>14</v>
      </c>
      <c r="J9" s="1" t="n">
        <v>1</v>
      </c>
      <c r="K9" s="1" t="n">
        <f aca="false">J8+$C$2</f>
        <v>15</v>
      </c>
    </row>
    <row r="10" customFormat="false" ht="20" hidden="false" customHeight="true" outlineLevel="0" collapsed="false">
      <c r="A10" s="2"/>
      <c r="B10" s="4" t="s">
        <v>10</v>
      </c>
      <c r="D10" s="1" t="n">
        <v>20</v>
      </c>
      <c r="E10" s="1" t="n">
        <v>40</v>
      </c>
      <c r="F10" s="1" t="n">
        <v>21</v>
      </c>
      <c r="G10" s="1" t="n">
        <v>42</v>
      </c>
      <c r="H10" s="1" t="n">
        <v>22</v>
      </c>
      <c r="I10" s="1" t="n">
        <v>44</v>
      </c>
      <c r="J10" s="1" t="n">
        <v>23</v>
      </c>
      <c r="K10" s="1" t="n">
        <v>46</v>
      </c>
    </row>
    <row r="11" customFormat="false" ht="18" hidden="false" customHeight="true" outlineLevel="0" collapsed="false">
      <c r="A11" s="2"/>
      <c r="B11" s="4"/>
      <c r="D11" s="1" t="n">
        <v>1</v>
      </c>
      <c r="E11" s="1" t="n">
        <f aca="false">D10+$C$2</f>
        <v>22</v>
      </c>
      <c r="F11" s="1" t="n">
        <v>1</v>
      </c>
      <c r="G11" s="1" t="n">
        <f aca="false">F10+$C$2</f>
        <v>23</v>
      </c>
      <c r="H11" s="1" t="n">
        <v>1</v>
      </c>
      <c r="I11" s="1" t="n">
        <f aca="false">H10+$C$2</f>
        <v>24</v>
      </c>
      <c r="J11" s="1" t="n">
        <v>1</v>
      </c>
      <c r="K11" s="1" t="n">
        <f aca="false">J10+$C$2</f>
        <v>25</v>
      </c>
    </row>
    <row r="12" customFormat="false" ht="19" hidden="false" customHeight="true" outlineLevel="0" collapsed="false">
      <c r="A12" s="2"/>
      <c r="B12" s="2" t="s">
        <v>11</v>
      </c>
      <c r="D12" s="1" t="n">
        <f aca="false">SUBTOTAL(9,D8:D11)</f>
        <v>32</v>
      </c>
      <c r="E12" s="1" t="n">
        <f aca="false">COUNT(D8:D11)</f>
        <v>4</v>
      </c>
      <c r="F12" s="1" t="n">
        <f aca="false">SUBTOTAL(9,F8:F11)</f>
        <v>34</v>
      </c>
      <c r="G12" s="1" t="n">
        <f aca="false">COUNT(F8:F11)</f>
        <v>4</v>
      </c>
      <c r="H12" s="1" t="n">
        <f aca="false">SUBTOTAL(9,H8:H11)</f>
        <v>36</v>
      </c>
      <c r="I12" s="1" t="n">
        <f aca="false">COUNT(H8:H11)</f>
        <v>4</v>
      </c>
      <c r="J12" s="1" t="n">
        <f aca="false">SUBTOTAL(9,J8:J11)</f>
        <v>38</v>
      </c>
      <c r="K12" s="1" t="n">
        <f aca="false">COUNT(J8:J11)</f>
        <v>4</v>
      </c>
      <c r="L12" s="1" t="n">
        <f aca="false">SUM($D8:$D11)</f>
        <v>32</v>
      </c>
    </row>
    <row r="13" customFormat="false" ht="19" hidden="false" customHeight="true" outlineLevel="0" collapsed="false">
      <c r="A13" s="2"/>
      <c r="B13" s="2" t="s">
        <v>12</v>
      </c>
      <c r="D13" s="1" t="n">
        <f aca="false">SUBTOTAL(9,D14:D15)</f>
        <v>31</v>
      </c>
      <c r="E13" s="1" t="n">
        <f aca="false">SUM(D14:D15)</f>
        <v>31</v>
      </c>
      <c r="F13" s="1" t="n">
        <f aca="false">SUBTOTAL(9,F14:F15)</f>
        <v>32</v>
      </c>
      <c r="G13" s="1" t="n">
        <f aca="false">SUM(F14:F15)</f>
        <v>32</v>
      </c>
      <c r="H13" s="1" t="n">
        <f aca="false">SUBTOTAL(9,H14:H15)</f>
        <v>33</v>
      </c>
      <c r="I13" s="1" t="n">
        <f aca="false">SUM(H14:H15)</f>
        <v>33</v>
      </c>
      <c r="J13" s="1" t="n">
        <f aca="false">SUBTOTAL(9,J14:J15)</f>
        <v>34</v>
      </c>
      <c r="K13" s="1" t="n">
        <f aca="false">SUM(J14:J15)</f>
        <v>34</v>
      </c>
      <c r="L13" s="1" t="n">
        <f aca="false">COUNT($D14:$D15)</f>
        <v>2</v>
      </c>
    </row>
    <row r="14" customFormat="false" ht="20" hidden="false" customHeight="true" outlineLevel="0" collapsed="false">
      <c r="A14" s="2"/>
      <c r="B14" s="4" t="s">
        <v>13</v>
      </c>
      <c r="D14" s="1" t="n">
        <v>30</v>
      </c>
      <c r="E14" s="1" t="n">
        <v>60</v>
      </c>
      <c r="F14" s="1" t="n">
        <v>31</v>
      </c>
      <c r="G14" s="1" t="n">
        <v>62</v>
      </c>
      <c r="H14" s="1" t="n">
        <v>32</v>
      </c>
      <c r="I14" s="1" t="n">
        <v>64</v>
      </c>
      <c r="J14" s="1" t="n">
        <v>33</v>
      </c>
      <c r="K14" s="1" t="n">
        <v>66</v>
      </c>
    </row>
    <row r="15" customFormat="false" ht="18" hidden="false" customHeight="true" outlineLevel="0" collapsed="false">
      <c r="A15" s="2"/>
      <c r="B15" s="4"/>
      <c r="D15" s="1" t="n">
        <v>1</v>
      </c>
      <c r="E15" s="1" t="n">
        <f aca="false">D14+$C$2</f>
        <v>32</v>
      </c>
      <c r="F15" s="1" t="n">
        <v>1</v>
      </c>
      <c r="G15" s="1" t="n">
        <f aca="false">F14+$C$2</f>
        <v>33</v>
      </c>
      <c r="H15" s="1" t="n">
        <v>1</v>
      </c>
      <c r="I15" s="1" t="n">
        <f aca="false">H14+$C$2</f>
        <v>34</v>
      </c>
      <c r="J15" s="1" t="n">
        <v>1</v>
      </c>
      <c r="K15" s="1" t="n">
        <f aca="false">J14+$C$2</f>
        <v>35</v>
      </c>
    </row>
    <row r="16" customFormat="false" ht="19" hidden="false" customHeight="true" outlineLevel="0" collapsed="false">
      <c r="A16" s="2"/>
      <c r="B16" s="2" t="s">
        <v>11</v>
      </c>
      <c r="D16" s="1" t="n">
        <f aca="false">SUBTOTAL(9,D14:D15)</f>
        <v>31</v>
      </c>
      <c r="E16" s="1" t="n">
        <f aca="false">COUNT(D14:D15)</f>
        <v>2</v>
      </c>
      <c r="F16" s="1" t="n">
        <f aca="false">SUBTOTAL(9,F14:F15)</f>
        <v>32</v>
      </c>
      <c r="G16" s="1" t="n">
        <f aca="false">COUNT(F14:F15)</f>
        <v>2</v>
      </c>
      <c r="H16" s="1" t="n">
        <f aca="false">SUBTOTAL(9,H14:H15)</f>
        <v>33</v>
      </c>
      <c r="I16" s="1" t="n">
        <f aca="false">COUNT(H14:H15)</f>
        <v>2</v>
      </c>
      <c r="J16" s="1" t="n">
        <f aca="false">SUBTOTAL(9,J14:J15)</f>
        <v>34</v>
      </c>
      <c r="K16" s="1" t="n">
        <f aca="false">COUNT(J14:J15)</f>
        <v>2</v>
      </c>
      <c r="L16" s="1" t="n">
        <f aca="false">SUM($D14:$D15)</f>
        <v>31</v>
      </c>
    </row>
    <row r="17" customFormat="false" ht="20" hidden="false" customHeight="true" outlineLevel="0" collapsed="false">
      <c r="B17" s="2" t="s">
        <v>14</v>
      </c>
      <c r="D17" s="1" t="n">
        <f aca="false">SUBTOTAL(9,D7:D16)</f>
        <v>63</v>
      </c>
      <c r="F17" s="1" t="n">
        <f aca="false">SUBTOTAL(9,F7:F16)</f>
        <v>66</v>
      </c>
      <c r="H17" s="1" t="n">
        <f aca="false">SUBTOTAL(9,H7:H16)</f>
        <v>69</v>
      </c>
      <c r="J17" s="1" t="n">
        <f aca="false">SUBTOTAL(9,J7:J16)</f>
        <v>72</v>
      </c>
    </row>
    <row r="18" customFormat="false" ht="18" hidden="false" customHeight="true" outlineLevel="0" collapsed="false">
      <c r="B18" s="2" t="s">
        <v>15</v>
      </c>
    </row>
    <row r="21" customFormat="false" ht="18" hidden="false" customHeight="true" outlineLevel="0" collapsed="false">
      <c r="A21" s="2"/>
      <c r="B21" s="2" t="s">
        <v>16</v>
      </c>
      <c r="C21" s="2" t="s">
        <v>17</v>
      </c>
    </row>
    <row r="22" customFormat="false" ht="18" hidden="false" customHeight="true" outlineLevel="0" collapsed="false">
      <c r="A22" s="2"/>
      <c r="B22" s="2" t="s">
        <v>18</v>
      </c>
      <c r="C22" s="2" t="s">
        <v>17</v>
      </c>
    </row>
    <row r="23" customFormat="false" ht="18" hidden="false" customHeight="true" outlineLevel="0" collapsed="false">
      <c r="A23" s="2"/>
      <c r="B23" s="2" t="s">
        <v>19</v>
      </c>
      <c r="C23" s="2" t="s">
        <v>17</v>
      </c>
    </row>
    <row r="24" customFormat="false" ht="19" hidden="false" customHeight="true" outlineLevel="0" collapsed="false">
      <c r="B24" s="2" t="s">
        <v>20</v>
      </c>
    </row>
  </sheetData>
  <mergeCells count="19">
    <mergeCell ref="D3:E3"/>
    <mergeCell ref="F3:G3"/>
    <mergeCell ref="H3:I3"/>
    <mergeCell ref="J3:K3"/>
    <mergeCell ref="D4:E4"/>
    <mergeCell ref="F4:G4"/>
    <mergeCell ref="H4:I4"/>
    <mergeCell ref="J4:K4"/>
    <mergeCell ref="D5:E5"/>
    <mergeCell ref="F5:G5"/>
    <mergeCell ref="H5:I5"/>
    <mergeCell ref="J5:K5"/>
    <mergeCell ref="D6:E6"/>
    <mergeCell ref="F6:G6"/>
    <mergeCell ref="H6:I6"/>
    <mergeCell ref="J6:K6"/>
    <mergeCell ref="B8:B9"/>
    <mergeCell ref="B10:B11"/>
    <mergeCell ref="B14:B15"/>
  </mergeCells>
  <printOptions headings="false" gridLines="false" gridLinesSet="true" horizontalCentered="true" verticalCentered="false"/>
  <pageMargins left="0.3" right="0.3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tru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</cols>
  <sheetData>
    <row r="2" customFormat="false" ht="20" hidden="false" customHeight="true" outlineLevel="0" collapsed="false">
      <c r="B2" s="5" t="n">
        <f aca="false">Report!D17</f>
        <v>63</v>
      </c>
      <c r="C2" s="2" t="n">
        <f aca="false">2+2</f>
        <v>4</v>
      </c>
    </row>
  </sheetData>
  <printOptions headings="false" gridLines="false" gridLinesSet="true" horizontalCentered="true" verticalCentered="false"/>
  <pageMargins left="0.3" right="0.3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